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4" codeName="{3D1A710C-6663-3D7B-7F91-EC182F24A4B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ogeshjain\Downloads\"/>
    </mc:Choice>
  </mc:AlternateContent>
  <xr:revisionPtr revIDLastSave="0" documentId="13_ncr:1_{B206AF6F-918D-45A0-AE97-D0334CD58534}" xr6:coauthVersionLast="36" xr6:coauthVersionMax="47" xr10:uidLastSave="{00000000-0000-0000-0000-000000000000}"/>
  <bookViews>
    <workbookView xWindow="0" yWindow="0" windowWidth="19200" windowHeight="693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2" i="19" l="1" a="1"/>
  <c r="C22" i="19" s="1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C7" i="18"/>
  <c r="D7" i="18"/>
  <c r="E7" i="18"/>
  <c r="F7" i="18"/>
  <c r="C8" i="18"/>
  <c r="D8" i="18"/>
  <c r="E8" i="18"/>
  <c r="F8" i="18"/>
  <c r="C9" i="18"/>
  <c r="D9" i="18"/>
  <c r="E9" i="18"/>
  <c r="F9" i="18"/>
  <c r="C10" i="18"/>
  <c r="D10" i="18"/>
  <c r="E10" i="18"/>
  <c r="F10" i="18"/>
  <c r="C11" i="18"/>
  <c r="D11" i="18"/>
  <c r="E11" i="18"/>
  <c r="F11" i="18"/>
  <c r="C12" i="18"/>
  <c r="D12" i="18"/>
  <c r="E12" i="18"/>
  <c r="F12" i="18"/>
  <c r="C13" i="18"/>
  <c r="D13" i="18"/>
  <c r="E13" i="18"/>
  <c r="F13" i="18"/>
  <c r="C14" i="18"/>
  <c r="D14" i="18"/>
  <c r="E14" i="18"/>
  <c r="F14" i="18"/>
  <c r="C15" i="18"/>
  <c r="D15" i="18"/>
  <c r="E15" i="18"/>
  <c r="F15" i="18"/>
  <c r="C16" i="18"/>
  <c r="D16" i="18"/>
  <c r="E16" i="18"/>
  <c r="F16" i="18"/>
  <c r="C17" i="18"/>
  <c r="D17" i="18"/>
  <c r="E17" i="18"/>
  <c r="F17" i="18"/>
  <c r="C18" i="18"/>
  <c r="D18" i="18"/>
  <c r="E18" i="18"/>
  <c r="F18" i="18"/>
  <c r="C19" i="18"/>
  <c r="D19" i="18"/>
  <c r="E19" i="18"/>
  <c r="F19" i="18"/>
  <c r="C20" i="18"/>
  <c r="D20" i="18"/>
  <c r="E20" i="18"/>
  <c r="F20" i="18"/>
  <c r="C21" i="18"/>
  <c r="D21" i="18"/>
  <c r="E21" i="18"/>
  <c r="F21" i="18"/>
  <c r="C22" i="18"/>
  <c r="D22" i="18"/>
  <c r="E22" i="18"/>
  <c r="F22" i="18"/>
  <c r="C23" i="18"/>
  <c r="D23" i="18"/>
  <c r="E23" i="18"/>
  <c r="F23" i="18"/>
  <c r="C24" i="18"/>
  <c r="D24" i="18"/>
  <c r="E24" i="18"/>
  <c r="F24" i="18"/>
  <c r="C25" i="18"/>
  <c r="D25" i="18"/>
  <c r="E25" i="18"/>
  <c r="F25" i="18"/>
  <c r="C26" i="18"/>
  <c r="D26" i="18"/>
  <c r="E26" i="18"/>
  <c r="F26" i="18"/>
  <c r="C27" i="18"/>
  <c r="D27" i="18"/>
  <c r="E27" i="18"/>
  <c r="F27" i="18"/>
  <c r="F6" i="18"/>
  <c r="E6" i="18"/>
  <c r="D6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5" i="15"/>
</calcChain>
</file>

<file path=xl/sharedStrings.xml><?xml version="1.0" encoding="utf-8"?>
<sst xmlns="http://schemas.openxmlformats.org/spreadsheetml/2006/main" count="404" uniqueCount="181">
  <si>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</si>
  <si>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</si>
  <si>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</si>
  <si>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</si>
  <si>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</si>
  <si>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</si>
  <si>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</si>
  <si>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</si>
  <si>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</si>
  <si>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</si>
  <si>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</si>
  <si>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</si>
  <si>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</si>
  <si>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</si>
  <si>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</si>
  <si>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</si>
  <si>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</si>
  <si>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</si>
  <si>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</si>
  <si>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</si>
  <si>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</si>
  <si>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</si>
  <si>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</si>
  <si>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</si>
  <si>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</si>
  <si>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</si>
  <si>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</si>
  <si>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</si>
  <si>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</si>
  <si>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</si>
  <si>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</si>
  <si>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</si>
  <si>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</si>
  <si>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</si>
  <si>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</si>
  <si>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</si>
  <si>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</si>
  <si>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</si>
  <si>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</si>
  <si>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</si>
  <si>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</si>
  <si>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</si>
  <si>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</si>
  <si>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</si>
  <si>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</si>
  <si>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</si>
  <si>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</si>
  <si>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</si>
  <si>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</si>
  <si>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</si>
  <si>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</si>
  <si>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</si>
  <si>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</si>
  <si>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</si>
  <si>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</si>
  <si>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</si>
  <si>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</si>
  <si>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</si>
  <si>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</si>
  <si>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</si>
  <si>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</si>
  <si>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</si>
  <si>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</si>
  <si>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</si>
  <si>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</si>
  <si>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</si>
  <si>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</si>
  <si>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</si>
  <si>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</si>
  <si>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</si>
  <si>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</si>
  <si>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</si>
  <si>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</si>
  <si>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</si>
  <si>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</si>
  <si>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</si>
  <si>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</si>
  <si>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</si>
  <si>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</si>
  <si>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</si>
  <si>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</si>
  <si>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</si>
  <si>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</si>
  <si>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</si>
  <si>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</si>
  <si>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</si>
  <si>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</si>
  <si>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</si>
  <si>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</si>
  <si>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</si>
  <si>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</si>
  <si>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</si>
  <si>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</si>
  <si>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</si>
  <si>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</si>
  <si>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</si>
  <si>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</si>
  <si>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</si>
  <si>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</si>
  <si>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</si>
  <si>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</si>
  <si>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</si>
  <si>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</si>
  <si>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</si>
  <si>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</si>
  <si>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</si>
  <si>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</si>
  <si>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</si>
  <si>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</si>
  <si>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</si>
  <si>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</si>
  <si>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</si>
  <si>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</si>
  <si>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</si>
  <si>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</si>
  <si>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</si>
  <si>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</si>
  <si>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</si>
  <si>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</si>
  <si>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</si>
  <si>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</si>
  <si>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</si>
  <si>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</si>
  <si>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</si>
  <si>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</si>
  <si>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</si>
  <si>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</si>
  <si>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</si>
  <si>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</si>
  <si>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</si>
  <si>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</si>
  <si>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</si>
  <si>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</si>
  <si>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</si>
  <si>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</si>
  <si>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</si>
  <si>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</si>
  <si>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</si>
  <si>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</si>
  <si>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</si>
  <si>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</si>
  <si>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</si>
  <si>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</si>
  <si>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</si>
  <si>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</si>
  <si>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</si>
  <si>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</si>
  <si>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</si>
  <si>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</si>
  <si>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</si>
  <si>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</si>
  <si>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</si>
  <si>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</si>
  <si>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</si>
  <si>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</si>
  <si>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</si>
  <si>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</si>
  <si>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</si>
  <si>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</si>
  <si>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</si>
  <si>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</si>
  <si>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</si>
  <si>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</si>
  <si>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</si>
  <si>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</si>
  <si>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</si>
  <si>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</si>
  <si>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</si>
  <si>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</si>
  <si>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</si>
  <si>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</si>
  <si>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</si>
  <si>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</si>
  <si>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</si>
  <si>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</si>
  <si>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</si>
  <si>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</si>
  <si>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By Text to column Functionality</t>
  </si>
  <si>
    <t>Got to Text to column&gt;&gt;Delimited &gt;&gt;other&gt;&gt;put -</t>
  </si>
  <si>
    <t>{=SUM(IF(ISERROR(C12:C21),20,C12:C21))}</t>
  </si>
  <si>
    <t>Apply the formula and press ctrl_sft_enter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</si>
</sst>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yyyy\-mm\-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7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8"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B14" sqref="B14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M1" zoomScaleNormal="100" workbookViewId="0">
      <pane ySplit="1" topLeftCell="A2" activePane="bottomLeft" state="frozen"/>
      <selection activeCell="N1" sqref="N1"/>
      <selection pane="bottomLeft" activeCell="V2" sqref="V2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A1048576">
    <cfRule type="duplicateValues" dxfId="5" priority="4"/>
  </conditionalFormatting>
  <conditionalFormatting sqref="B1:B1048576">
    <cfRule type="duplicateValues" dxfId="4" priority="3"/>
  </conditionalFormatting>
  <conditionalFormatting sqref="G2:W40">
    <cfRule type="cellIs" dxfId="2" priority="2" operator="equal">
      <formula>0</formula>
    </cfRule>
    <cfRule type="cellIs" dxfId="1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/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3">
        <f>SUMIF(Dataset!H2:H40,"&gt;20",Dataset!H2:H40)</f>
        <v>1473.0000000000002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/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55</v>
      </c>
      <c r="B1" s="40" t="s">
        <v>164</v>
      </c>
    </row>
    <row r="2" spans="1:7" s="40" customFormat="1" ht="21" x14ac:dyDescent="0.5">
      <c r="B2" s="40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162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1">
        <f>VLOOKUP($A6,Dataset!$A:$X,7,0)</f>
        <v>2.7</v>
      </c>
      <c r="C6" s="11">
        <f>VLOOKUP($A6,Dataset!$A:$X,14,0)</f>
        <v>7.6</v>
      </c>
      <c r="D6" s="11">
        <f>VLOOKUP($A6,Dataset!$A:$X,18,0)</f>
        <v>4.2</v>
      </c>
      <c r="E6" s="11">
        <f>VLOOKUP($A6,Dataset!$A:$X,20,0)</f>
        <v>8.9</v>
      </c>
      <c r="F6" s="11">
        <f>VLOOKUP($A6,Dataset!$A:$X,22,0)</f>
        <v>4.2</v>
      </c>
    </row>
    <row r="7" spans="1:7" ht="14.5" x14ac:dyDescent="0.35">
      <c r="A7" s="7" t="s">
        <v>4</v>
      </c>
      <c r="B7" s="11">
        <f>VLOOKUP($A7,Dataset!$A:$X,7,0)</f>
        <v>2.7</v>
      </c>
      <c r="C7" s="11">
        <f>VLOOKUP($A7,Dataset!$A:$X,14,0)</f>
        <v>7.6</v>
      </c>
      <c r="D7" s="11">
        <f>VLOOKUP($A7,Dataset!$A:$X,18,0)</f>
        <v>4.2</v>
      </c>
      <c r="E7" s="11">
        <f>VLOOKUP($A7,Dataset!$A:$X,20,0)</f>
        <v>8.9</v>
      </c>
      <c r="F7" s="11">
        <f>VLOOKUP($A7,Dataset!$A:$X,22,0)</f>
        <v>4.2</v>
      </c>
    </row>
    <row r="8" spans="1:7" ht="14.5" x14ac:dyDescent="0.35">
      <c r="A8" s="7" t="s">
        <v>7</v>
      </c>
      <c r="B8" s="11">
        <f>VLOOKUP($A8,Dataset!$A:$X,7,0)</f>
        <v>3.6</v>
      </c>
      <c r="C8" s="11">
        <f>VLOOKUP($A8,Dataset!$A:$X,14,0)</f>
        <v>11.1</v>
      </c>
      <c r="D8" s="11">
        <f>VLOOKUP($A8,Dataset!$A:$X,18,0)</f>
        <v>5.8</v>
      </c>
      <c r="E8" s="11">
        <f>VLOOKUP($A8,Dataset!$A:$X,20,0)</f>
        <v>12.2</v>
      </c>
      <c r="F8" s="11">
        <f>VLOOKUP($A8,Dataset!$A:$X,22,0)</f>
        <v>5.8</v>
      </c>
    </row>
    <row r="9" spans="1:7" ht="14.5" x14ac:dyDescent="0.35">
      <c r="A9" s="7" t="s">
        <v>8</v>
      </c>
      <c r="B9" s="11">
        <f>VLOOKUP($A9,Dataset!$A:$X,7,0)</f>
        <v>4.9000000000000004</v>
      </c>
      <c r="C9" s="11">
        <f>VLOOKUP($A9,Dataset!$A:$X,14,0)</f>
        <v>13.3</v>
      </c>
      <c r="D9" s="11">
        <f>VLOOKUP($A9,Dataset!$A:$X,18,0)</f>
        <v>8.1</v>
      </c>
      <c r="E9" s="11">
        <f>VLOOKUP($A9,Dataset!$A:$X,20,0)</f>
        <v>17</v>
      </c>
      <c r="F9" s="11">
        <f>VLOOKUP($A9,Dataset!$A:$X,22,0)</f>
        <v>8.1</v>
      </c>
    </row>
    <row r="10" spans="1:7" ht="14.5" x14ac:dyDescent="0.35">
      <c r="A10" s="7" t="s">
        <v>11</v>
      </c>
      <c r="B10" s="11">
        <f>VLOOKUP($A10,Dataset!$A:$X,7,0)</f>
        <v>9.4</v>
      </c>
      <c r="C10" s="11">
        <f>VLOOKUP($A10,Dataset!$A:$X,14,0)</f>
        <v>28.3</v>
      </c>
      <c r="D10" s="11">
        <f>VLOOKUP($A10,Dataset!$A:$X,18,0)</f>
        <v>16.100000000000001</v>
      </c>
      <c r="E10" s="11">
        <f>VLOOKUP($A10,Dataset!$A:$X,20,0)</f>
        <v>32.799999999999997</v>
      </c>
      <c r="F10" s="11">
        <f>VLOOKUP($A10,Dataset!$A:$X,22,0)</f>
        <v>16.100000000000001</v>
      </c>
    </row>
    <row r="11" spans="1:7" ht="14.5" x14ac:dyDescent="0.35">
      <c r="A11" s="7" t="s">
        <v>12</v>
      </c>
      <c r="B11" s="11">
        <f>VLOOKUP($A11,Dataset!$A:$X,7,0)</f>
        <v>11.6</v>
      </c>
      <c r="C11" s="11">
        <f>VLOOKUP($A11,Dataset!$A:$X,14,0)</f>
        <v>35.200000000000003</v>
      </c>
      <c r="D11" s="11">
        <f>VLOOKUP($A11,Dataset!$A:$X,18,0)</f>
        <v>21.3</v>
      </c>
      <c r="E11" s="11">
        <f>VLOOKUP($A11,Dataset!$A:$X,20,0)</f>
        <v>43</v>
      </c>
      <c r="F11" s="11">
        <f>VLOOKUP($A11,Dataset!$A:$X,22,0)</f>
        <v>21.3</v>
      </c>
    </row>
    <row r="12" spans="1:7" ht="14.5" x14ac:dyDescent="0.35">
      <c r="A12" s="7" t="s">
        <v>14</v>
      </c>
      <c r="B12" s="11">
        <f>VLOOKUP($A12,Dataset!$A:$X,7,0)</f>
        <v>18.399999999999999</v>
      </c>
      <c r="C12" s="11">
        <f>VLOOKUP($A12,Dataset!$A:$X,14,0)</f>
        <v>55.6</v>
      </c>
      <c r="D12" s="11">
        <f>VLOOKUP($A12,Dataset!$A:$X,18,0)</f>
        <v>33.799999999999997</v>
      </c>
      <c r="E12" s="11">
        <f>VLOOKUP($A12,Dataset!$A:$X,20,0)</f>
        <v>67.900000000000006</v>
      </c>
      <c r="F12" s="11">
        <f>VLOOKUP($A12,Dataset!$A:$X,22,0)</f>
        <v>33.799999999999997</v>
      </c>
    </row>
    <row r="13" spans="1:7" ht="14.5" x14ac:dyDescent="0.35">
      <c r="A13" s="7" t="s">
        <v>15</v>
      </c>
      <c r="B13" s="11">
        <f>VLOOKUP($A13,Dataset!$A:$X,7,0)</f>
        <v>0</v>
      </c>
      <c r="C13" s="11">
        <f>VLOOKUP($A13,Dataset!$A:$X,14,0)</f>
        <v>0</v>
      </c>
      <c r="D13" s="11">
        <f>VLOOKUP($A13,Dataset!$A:$X,18,0)</f>
        <v>0</v>
      </c>
      <c r="E13" s="11">
        <f>VLOOKUP($A13,Dataset!$A:$X,20,0)</f>
        <v>0</v>
      </c>
      <c r="F13" s="11">
        <f>VLOOKUP($A13,Dataset!$A:$X,22,0)</f>
        <v>0</v>
      </c>
    </row>
    <row r="14" spans="1:7" ht="14.5" x14ac:dyDescent="0.35">
      <c r="A14" s="7" t="s">
        <v>16</v>
      </c>
      <c r="B14" s="11">
        <f>VLOOKUP($A14,Dataset!$A:$X,7,0)</f>
        <v>21.9</v>
      </c>
      <c r="C14" s="11">
        <f>VLOOKUP($A14,Dataset!$A:$X,14,0)</f>
        <v>61.5</v>
      </c>
      <c r="D14" s="11">
        <f>VLOOKUP($A14,Dataset!$A:$X,18,0)</f>
        <v>40.1</v>
      </c>
      <c r="E14" s="11">
        <f>VLOOKUP($A14,Dataset!$A:$X,20,0)</f>
        <v>76.599999999999994</v>
      </c>
      <c r="F14" s="11">
        <f>VLOOKUP($A14,Dataset!$A:$X,22,0)</f>
        <v>40.1</v>
      </c>
    </row>
    <row r="15" spans="1:7" ht="14.5" x14ac:dyDescent="0.35">
      <c r="A15" s="7" t="s">
        <v>18</v>
      </c>
      <c r="B15" s="11">
        <f>VLOOKUP($A15,Dataset!$A:$X,7,0)</f>
        <v>26.8</v>
      </c>
      <c r="C15" s="11">
        <f>VLOOKUP($A15,Dataset!$A:$X,14,0)</f>
        <v>79.599999999999994</v>
      </c>
      <c r="D15" s="11">
        <f>VLOOKUP($A15,Dataset!$A:$X,18,0)</f>
        <v>47.9</v>
      </c>
      <c r="E15" s="11">
        <f>VLOOKUP($A15,Dataset!$A:$X,20,0)</f>
        <v>96.8</v>
      </c>
      <c r="F15" s="11">
        <f>VLOOKUP($A15,Dataset!$A:$X,22,0)</f>
        <v>47.9</v>
      </c>
    </row>
    <row r="16" spans="1:7" ht="14.5" x14ac:dyDescent="0.35">
      <c r="A16" s="7" t="s">
        <v>20</v>
      </c>
      <c r="B16" s="11">
        <f>VLOOKUP($A16,Dataset!$A:$X,7,0)</f>
        <v>28.5</v>
      </c>
      <c r="C16" s="11">
        <f>VLOOKUP($A16,Dataset!$A:$X,14,0)</f>
        <v>85.4</v>
      </c>
      <c r="D16" s="11">
        <f>VLOOKUP($A16,Dataset!$A:$X,18,0)</f>
        <v>52.3</v>
      </c>
      <c r="E16" s="11">
        <f>VLOOKUP($A16,Dataset!$A:$X,20,0)</f>
        <v>106.1</v>
      </c>
      <c r="F16" s="11">
        <f>VLOOKUP($A16,Dataset!$A:$X,22,0)</f>
        <v>52.3</v>
      </c>
    </row>
    <row r="17" spans="1:6" ht="14.5" x14ac:dyDescent="0.35">
      <c r="A17" s="7" t="s">
        <v>22</v>
      </c>
      <c r="B17" s="11">
        <f>VLOOKUP($A17,Dataset!$A:$X,7,0)</f>
        <v>30.7</v>
      </c>
      <c r="C17" s="11">
        <f>VLOOKUP($A17,Dataset!$A:$X,14,0)</f>
        <v>92.1</v>
      </c>
      <c r="D17" s="11">
        <f>VLOOKUP($A17,Dataset!$A:$X,18,0)</f>
        <v>57</v>
      </c>
      <c r="E17" s="11">
        <f>VLOOKUP($A17,Dataset!$A:$X,20,0)</f>
        <v>115.1</v>
      </c>
      <c r="F17" s="11">
        <f>VLOOKUP($A17,Dataset!$A:$X,22,0)</f>
        <v>57</v>
      </c>
    </row>
    <row r="18" spans="1:6" ht="14.5" x14ac:dyDescent="0.35">
      <c r="A18" s="7" t="s">
        <v>23</v>
      </c>
      <c r="B18" s="11">
        <f>VLOOKUP($A18,Dataset!$A:$X,7,0)</f>
        <v>33.799999999999997</v>
      </c>
      <c r="C18" s="11">
        <f>VLOOKUP($A18,Dataset!$A:$X,14,0)</f>
        <v>101.3</v>
      </c>
      <c r="D18" s="11">
        <f>VLOOKUP($A18,Dataset!$A:$X,18,0)</f>
        <v>61.4</v>
      </c>
      <c r="E18" s="11">
        <f>VLOOKUP($A18,Dataset!$A:$X,20,0)</f>
        <v>124.4</v>
      </c>
      <c r="F18" s="11">
        <f>VLOOKUP($A18,Dataset!$A:$X,22,0)</f>
        <v>61.4</v>
      </c>
    </row>
    <row r="19" spans="1:6" ht="14.5" x14ac:dyDescent="0.35">
      <c r="A19" s="7" t="s">
        <v>24</v>
      </c>
      <c r="B19" s="11">
        <f>VLOOKUP($A19,Dataset!$A:$X,7,0)</f>
        <v>34.700000000000003</v>
      </c>
      <c r="C19" s="11">
        <f>VLOOKUP($A19,Dataset!$A:$X,14,0)</f>
        <v>106.1</v>
      </c>
      <c r="D19" s="11">
        <f>VLOOKUP($A19,Dataset!$A:$X,18,0)</f>
        <v>63.6</v>
      </c>
      <c r="E19" s="11">
        <f>VLOOKUP($A19,Dataset!$A:$X,20,0)</f>
        <v>128.6</v>
      </c>
      <c r="F19" s="11">
        <f>VLOOKUP($A19,Dataset!$A:$X,22,0)</f>
        <v>63.6</v>
      </c>
    </row>
    <row r="20" spans="1:6" ht="14.5" x14ac:dyDescent="0.35">
      <c r="A20" s="7" t="s">
        <v>28</v>
      </c>
      <c r="B20" s="11">
        <f>VLOOKUP($A20,Dataset!$A:$X,7,0)</f>
        <v>0</v>
      </c>
      <c r="C20" s="11">
        <f>VLOOKUP($A20,Dataset!$A:$X,14,0)</f>
        <v>0</v>
      </c>
      <c r="D20" s="11">
        <f>VLOOKUP($A20,Dataset!$A:$X,18,0)</f>
        <v>0</v>
      </c>
      <c r="E20" s="11">
        <f>VLOOKUP($A20,Dataset!$A:$X,20,0)</f>
        <v>0</v>
      </c>
      <c r="F20" s="11">
        <f>VLOOKUP($A20,Dataset!$A:$X,22,0)</f>
        <v>0</v>
      </c>
    </row>
    <row r="21" spans="1:6" ht="14.5" x14ac:dyDescent="0.35">
      <c r="A21" s="7" t="s">
        <v>57</v>
      </c>
      <c r="B21" s="11">
        <f>VLOOKUP($A21,Dataset!$A:$X,7,0)</f>
        <v>41.3</v>
      </c>
      <c r="C21" s="11">
        <f>VLOOKUP($A21,Dataset!$A:$X,14,0)</f>
        <v>124.4</v>
      </c>
      <c r="D21" s="11">
        <f>VLOOKUP($A21,Dataset!$A:$X,18,0)</f>
        <v>75</v>
      </c>
      <c r="E21" s="11">
        <f>VLOOKUP($A21,Dataset!$A:$X,20,0)</f>
        <v>151.5</v>
      </c>
      <c r="F21" s="11">
        <f>VLOOKUP($A21,Dataset!$A:$X,22,0)</f>
        <v>75</v>
      </c>
    </row>
    <row r="22" spans="1:6" ht="14.5" x14ac:dyDescent="0.35">
      <c r="A22" s="7" t="s">
        <v>58</v>
      </c>
      <c r="B22" s="11">
        <f>VLOOKUP($A22,Dataset!$A:$X,7,0)</f>
        <v>-1</v>
      </c>
      <c r="C22" s="11">
        <f>VLOOKUP($A22,Dataset!$A:$X,14,0)</f>
        <v>-1</v>
      </c>
      <c r="D22" s="11">
        <f>VLOOKUP($A22,Dataset!$A:$X,18,0)</f>
        <v>-1</v>
      </c>
      <c r="E22" s="11">
        <f>VLOOKUP($A22,Dataset!$A:$X,20,0)</f>
        <v>-1</v>
      </c>
      <c r="F22" s="11">
        <f>VLOOKUP($A22,Dataset!$A:$X,22,0)</f>
        <v>-1</v>
      </c>
    </row>
    <row r="23" spans="1:6" ht="14.5" x14ac:dyDescent="0.35">
      <c r="A23" s="7" t="s">
        <v>31</v>
      </c>
      <c r="B23" s="11">
        <f>VLOOKUP($A23,Dataset!$A:$X,7,0)</f>
        <v>45</v>
      </c>
      <c r="C23" s="11">
        <f>VLOOKUP($A23,Dataset!$A:$X,14,0)</f>
        <v>133.4</v>
      </c>
      <c r="D23" s="11">
        <f>VLOOKUP($A23,Dataset!$A:$X,18,0)</f>
        <v>79.400000000000006</v>
      </c>
      <c r="E23" s="11">
        <f>VLOOKUP($A23,Dataset!$A:$X,20,0)</f>
        <v>160.9</v>
      </c>
      <c r="F23" s="11">
        <f>VLOOKUP($A23,Dataset!$A:$X,22,0)</f>
        <v>79.400000000000006</v>
      </c>
    </row>
    <row r="24" spans="1:6" ht="14.5" x14ac:dyDescent="0.35">
      <c r="A24" s="7" t="s">
        <v>32</v>
      </c>
      <c r="B24" s="11">
        <f>VLOOKUP($A24,Dataset!$A:$X,7,0)</f>
        <v>-1</v>
      </c>
      <c r="C24" s="11">
        <f>VLOOKUP($A24,Dataset!$A:$X,14,0)</f>
        <v>-1</v>
      </c>
      <c r="D24" s="11">
        <f>VLOOKUP($A24,Dataset!$A:$X,18,0)</f>
        <v>-1</v>
      </c>
      <c r="E24" s="11">
        <f>VLOOKUP($A24,Dataset!$A:$X,20,0)</f>
        <v>-1</v>
      </c>
      <c r="F24" s="11">
        <f>VLOOKUP($A24,Dataset!$A:$X,22,0)</f>
        <v>-1</v>
      </c>
    </row>
    <row r="25" spans="1:6" ht="14.5" x14ac:dyDescent="0.35">
      <c r="A25" s="7" t="s">
        <v>34</v>
      </c>
      <c r="B25" s="11">
        <f>VLOOKUP($A25,Dataset!$A:$X,7,0)</f>
        <v>43.3</v>
      </c>
      <c r="C25" s="11">
        <f>VLOOKUP($A25,Dataset!$A:$X,14,0)</f>
        <v>128.6</v>
      </c>
      <c r="D25" s="11">
        <f>VLOOKUP($A25,Dataset!$A:$X,18,0)</f>
        <v>79.400000000000006</v>
      </c>
      <c r="E25" s="11">
        <f>VLOOKUP($A25,Dataset!$A:$X,20,0)</f>
        <v>160.9</v>
      </c>
      <c r="F25" s="11">
        <f>VLOOKUP($A25,Dataset!$A:$X,22,0)</f>
        <v>79.400000000000006</v>
      </c>
    </row>
    <row r="26" spans="1:6" ht="14.5" x14ac:dyDescent="0.35">
      <c r="A26" s="7" t="s">
        <v>37</v>
      </c>
      <c r="B26" s="11">
        <f>VLOOKUP($A26,Dataset!$A:$X,7,0)</f>
        <v>49.1</v>
      </c>
      <c r="C26" s="11">
        <f>VLOOKUP($A26,Dataset!$A:$X,14,0)</f>
        <v>146.80000000000001</v>
      </c>
      <c r="D26" s="11">
        <f>VLOOKUP($A26,Dataset!$A:$X,18,0)</f>
        <v>90.9</v>
      </c>
      <c r="E26" s="11">
        <f>VLOOKUP($A26,Dataset!$A:$X,20,0)</f>
        <v>183.5</v>
      </c>
      <c r="F26" s="11">
        <f>VLOOKUP($A26,Dataset!$A:$X,22,0)</f>
        <v>90.9</v>
      </c>
    </row>
    <row r="27" spans="1:6" ht="14.5" x14ac:dyDescent="0.35">
      <c r="A27" s="7" t="s">
        <v>39</v>
      </c>
      <c r="B27" s="11">
        <f>VLOOKUP($A27,Dataset!$A:$X,7,0)</f>
        <v>51.8</v>
      </c>
      <c r="C27" s="11">
        <f>VLOOKUP($A27,Dataset!$A:$X,14,0)</f>
        <v>156.4</v>
      </c>
      <c r="D27" s="11">
        <f>VLOOKUP($A27,Dataset!$A:$X,18,0)</f>
        <v>93.1</v>
      </c>
      <c r="E27" s="11">
        <f>VLOOKUP($A27,Dataset!$A:$X,20,0)</f>
        <v>188.1</v>
      </c>
      <c r="F27" s="11">
        <f>VLOOKUP($A27,Dataset!$A:$X,22,0)</f>
        <v>93.1</v>
      </c>
    </row>
    <row r="28" spans="1:6" ht="14.5" x14ac:dyDescent="0.35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5" x14ac:dyDescent="0.35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5" x14ac:dyDescent="0.35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/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0" customFormat="1" ht="21" x14ac:dyDescent="0.5">
      <c r="A1" s="41" t="s">
        <v>56</v>
      </c>
      <c r="B1" s="40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2" t="s">
        <v>53</v>
      </c>
      <c r="B5" s="39" t="s">
        <v>177</v>
      </c>
    </row>
    <row r="6" spans="1:10" ht="18.5" x14ac:dyDescent="0.45">
      <c r="A6" s="42" t="s">
        <v>153</v>
      </c>
      <c r="B6" s="39" t="s">
        <v>178</v>
      </c>
    </row>
    <row r="7" spans="1:10" ht="18.5" x14ac:dyDescent="0.45">
      <c r="A7" s="42"/>
      <c r="B7" s="39"/>
    </row>
    <row r="9" spans="1:10" ht="23.5" x14ac:dyDescent="0.55000000000000004">
      <c r="A9" s="17" t="s">
        <v>165</v>
      </c>
      <c r="I9" s="2"/>
      <c r="J9" s="2"/>
    </row>
    <row r="10" spans="1:10" x14ac:dyDescent="0.3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162</v>
      </c>
    </row>
    <row r="15" spans="1:10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5">
      <c r="A16" s="7" t="s">
        <v>121</v>
      </c>
      <c r="B16" s="7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5">
      <c r="A17" s="7" t="s">
        <v>122</v>
      </c>
      <c r="B17" s="7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5">
      <c r="A18" s="7" t="s">
        <v>123</v>
      </c>
      <c r="B18" s="7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5">
      <c r="A19" s="7" t="s">
        <v>124</v>
      </c>
      <c r="B19" s="7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5">
      <c r="A20" s="7" t="s">
        <v>125</v>
      </c>
      <c r="B20" s="7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5">
      <c r="A21" s="7" t="s">
        <v>126</v>
      </c>
      <c r="B21" s="7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5">
      <c r="A22" s="7" t="s">
        <v>127</v>
      </c>
      <c r="B22" s="7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5">
      <c r="A23" s="7" t="s">
        <v>128</v>
      </c>
      <c r="B23" s="7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5">
      <c r="A24" s="7" t="s">
        <v>129</v>
      </c>
      <c r="B24" s="7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5">
      <c r="A25" s="7" t="s">
        <v>130</v>
      </c>
      <c r="B25" s="7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5">
      <c r="A26" s="7" t="s">
        <v>131</v>
      </c>
      <c r="B26" s="7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5">
      <c r="A27" s="7" t="s">
        <v>132</v>
      </c>
      <c r="B27" s="7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5">
      <c r="A28" s="7" t="s">
        <v>133</v>
      </c>
      <c r="B28" s="7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5">
      <c r="A29" s="7" t="s">
        <v>134</v>
      </c>
      <c r="B29" s="7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5">
      <c r="A30" s="7" t="s">
        <v>135</v>
      </c>
      <c r="B30" s="7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5">
      <c r="A31" s="7" t="s">
        <v>136</v>
      </c>
      <c r="B31" s="7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5">
      <c r="A32" s="7" t="s">
        <v>137</v>
      </c>
      <c r="B32" s="7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5">
      <c r="A33" s="7" t="s">
        <v>138</v>
      </c>
      <c r="B33" s="7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5">
      <c r="A34" s="7" t="s">
        <v>139</v>
      </c>
      <c r="B34" s="7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5">
      <c r="A35" s="7" t="s">
        <v>140</v>
      </c>
      <c r="B35" s="7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5">
      <c r="A36" s="7" t="s">
        <v>141</v>
      </c>
      <c r="B36" s="7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5">
      <c r="A37" s="7" t="s">
        <v>142</v>
      </c>
      <c r="B37" s="7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5">
      <c r="A38" s="7" t="s">
        <v>143</v>
      </c>
      <c r="B38" s="7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5">
      <c r="A39" s="7" t="s">
        <v>144</v>
      </c>
      <c r="B39" s="7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5">
      <c r="A40" s="7" t="s">
        <v>145</v>
      </c>
      <c r="B40" s="7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5">
      <c r="A41" s="7" t="s">
        <v>146</v>
      </c>
      <c r="B41" s="7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5">
      <c r="A42" s="7" t="s">
        <v>147</v>
      </c>
      <c r="B42" s="7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5">
      <c r="A43" s="7" t="s">
        <v>148</v>
      </c>
      <c r="B43" s="7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5">
      <c r="A44" s="7" t="s">
        <v>149</v>
      </c>
      <c r="B44" s="7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5">
      <c r="A45" s="7" t="s">
        <v>150</v>
      </c>
      <c r="B45" s="7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5">
      <c r="A46" s="7" t="s">
        <v>112</v>
      </c>
      <c r="B46" s="7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5">
      <c r="A47" s="7" t="s">
        <v>113</v>
      </c>
      <c r="B47" s="7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5">
      <c r="A48" s="7" t="s">
        <v>114</v>
      </c>
      <c r="B48" s="7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5">
      <c r="A49" s="7" t="s">
        <v>115</v>
      </c>
      <c r="B49" s="7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5">
      <c r="A50" s="7" t="s">
        <v>116</v>
      </c>
      <c r="B50" s="7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5">
      <c r="A51" s="7" t="s">
        <v>117</v>
      </c>
      <c r="B51" s="7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5">
      <c r="A52" s="7" t="s">
        <v>118</v>
      </c>
      <c r="B52" s="7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5">
      <c r="A53" s="7" t="s">
        <v>119</v>
      </c>
      <c r="B53" s="7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5">
      <c r="A54" s="8" t="s">
        <v>120</v>
      </c>
      <c r="B54" s="8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1" t="s">
        <v>85</v>
      </c>
      <c r="B1" s="40" t="s">
        <v>167</v>
      </c>
    </row>
    <row r="2" spans="1:3" ht="18.5" x14ac:dyDescent="0.45">
      <c r="B2" s="39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 t="s">
        <v>179</v>
      </c>
    </row>
    <row r="7" spans="1:3" ht="14.5" x14ac:dyDescent="0.35">
      <c r="A7" s="3" t="s">
        <v>153</v>
      </c>
      <c r="B7" s="1" t="s">
        <v>180</v>
      </c>
    </row>
    <row r="10" spans="1:3" ht="23.5" x14ac:dyDescent="0.55000000000000004">
      <c r="A10" s="17" t="s">
        <v>162</v>
      </c>
    </row>
    <row r="11" spans="1:3" ht="14.5" x14ac:dyDescent="0.35">
      <c r="A11" s="31" t="s">
        <v>86</v>
      </c>
      <c r="B11" s="16" t="s">
        <v>87</v>
      </c>
      <c r="C11" s="16" t="s">
        <v>88</v>
      </c>
    </row>
    <row r="12" spans="1:3" ht="14.5" x14ac:dyDescent="0.35">
      <c r="A12" s="31">
        <v>44927</v>
      </c>
      <c r="B12" s="16" t="s">
        <v>59</v>
      </c>
      <c r="C12" s="16">
        <v>200</v>
      </c>
    </row>
    <row r="13" spans="1:3" ht="14.5" x14ac:dyDescent="0.35">
      <c r="A13" s="31">
        <v>44928</v>
      </c>
      <c r="B13" s="16" t="s">
        <v>60</v>
      </c>
      <c r="C13" s="16" t="e">
        <v>#N/A</v>
      </c>
    </row>
    <row r="14" spans="1:3" ht="14.5" x14ac:dyDescent="0.35">
      <c r="A14" s="31">
        <v>44929</v>
      </c>
      <c r="B14" s="16" t="s">
        <v>61</v>
      </c>
      <c r="C14" s="16">
        <v>50</v>
      </c>
    </row>
    <row r="15" spans="1:3" ht="14.5" x14ac:dyDescent="0.35">
      <c r="A15" s="31">
        <v>44930</v>
      </c>
      <c r="B15" s="16" t="s">
        <v>62</v>
      </c>
      <c r="C15" s="16" t="e">
        <v>#N/A</v>
      </c>
    </row>
    <row r="16" spans="1:3" ht="14.5" x14ac:dyDescent="0.35">
      <c r="A16" s="31">
        <v>44931</v>
      </c>
      <c r="B16" s="16" t="s">
        <v>63</v>
      </c>
      <c r="C16" s="16">
        <v>10</v>
      </c>
    </row>
    <row r="17" spans="1:3" ht="14.5" x14ac:dyDescent="0.35">
      <c r="A17" s="31">
        <v>44932</v>
      </c>
      <c r="B17" s="16" t="s">
        <v>154</v>
      </c>
      <c r="C17" s="16">
        <v>150</v>
      </c>
    </row>
    <row r="18" spans="1:3" ht="14.5" x14ac:dyDescent="0.35">
      <c r="A18" s="31">
        <v>44933</v>
      </c>
      <c r="B18" s="16" t="s">
        <v>155</v>
      </c>
      <c r="C18" s="16">
        <v>80</v>
      </c>
    </row>
    <row r="19" spans="1:3" ht="14.5" x14ac:dyDescent="0.35">
      <c r="A19" s="31">
        <v>44934</v>
      </c>
      <c r="B19" s="16" t="s">
        <v>156</v>
      </c>
      <c r="C19" s="16" t="e">
        <v>#N/A</v>
      </c>
    </row>
    <row r="20" spans="1:3" ht="14.5" x14ac:dyDescent="0.35">
      <c r="A20" s="31">
        <v>44935</v>
      </c>
      <c r="B20" s="16" t="s">
        <v>157</v>
      </c>
      <c r="C20" s="16">
        <v>30</v>
      </c>
    </row>
    <row r="21" spans="1:3" ht="14.5" x14ac:dyDescent="0.35">
      <c r="A21" s="31">
        <v>44936</v>
      </c>
      <c r="B21" s="16" t="s">
        <v>158</v>
      </c>
      <c r="C21" s="16" t="e">
        <v>#N/A</v>
      </c>
    </row>
    <row r="22" spans="1:3" ht="14.5" x14ac:dyDescent="0.35">
      <c r="B22" s="16" t="s">
        <v>159</v>
      </c>
      <c r="C22" s="24">
        <f t="array" ref="C22">SUM(IF(ISERROR(C12:C21),20,C12:C21))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/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98</v>
      </c>
      <c r="B1" s="40" t="s">
        <v>175</v>
      </c>
    </row>
    <row r="3" spans="1:14" ht="14.5" x14ac:dyDescent="0.35">
      <c r="B3" s="1" t="s">
        <v>151</v>
      </c>
    </row>
    <row r="4" spans="1:14" ht="18.5" x14ac:dyDescent="0.45">
      <c r="A4" s="42" t="s">
        <v>53</v>
      </c>
      <c r="B4" s="1"/>
    </row>
    <row r="5" spans="1:14" ht="18.5" x14ac:dyDescent="0.45">
      <c r="A5" s="42" t="s">
        <v>153</v>
      </c>
      <c r="B5" s="1"/>
    </row>
    <row r="6" spans="1:14" ht="14.5" x14ac:dyDescent="0.35">
      <c r="A6" s="3"/>
      <c r="B6" s="1"/>
    </row>
    <row r="8" spans="1:14" ht="23.5" x14ac:dyDescent="0.55000000000000004">
      <c r="A8" s="17" t="s">
        <v>162</v>
      </c>
      <c r="M8" s="17" t="s">
        <v>163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168</v>
      </c>
    </row>
    <row r="22" spans="1:14" ht="14.5" x14ac:dyDescent="0.35">
      <c r="A22" s="13" t="s">
        <v>100</v>
      </c>
      <c r="B22" s="16" t="s">
        <v>101</v>
      </c>
      <c r="C22" s="15" t="s">
        <v>102</v>
      </c>
    </row>
    <row r="23" spans="1:14" ht="14.5" x14ac:dyDescent="0.35">
      <c r="A23" s="7">
        <v>10100</v>
      </c>
      <c r="B23" s="11">
        <v>10102</v>
      </c>
      <c r="C23" s="43"/>
    </row>
    <row r="24" spans="1:14" ht="14.5" x14ac:dyDescent="0.35">
      <c r="A24" s="7">
        <v>10100</v>
      </c>
      <c r="B24" s="11">
        <v>10104</v>
      </c>
      <c r="C24" s="43"/>
    </row>
    <row r="25" spans="1:14" ht="14.5" x14ac:dyDescent="0.35">
      <c r="A25" s="7">
        <v>10108</v>
      </c>
      <c r="B25" s="11">
        <v>10102</v>
      </c>
      <c r="C25" s="43"/>
    </row>
    <row r="26" spans="1:14" ht="14.5" x14ac:dyDescent="0.35">
      <c r="A26" s="7">
        <v>10100</v>
      </c>
      <c r="B26" s="11">
        <v>10106</v>
      </c>
      <c r="C26" s="43"/>
    </row>
    <row r="27" spans="1:14" ht="14.5" x14ac:dyDescent="0.35">
      <c r="A27" s="7">
        <v>10108</v>
      </c>
      <c r="B27" s="11">
        <v>10110</v>
      </c>
      <c r="C27" s="43"/>
    </row>
    <row r="28" spans="1:14" ht="14.5" x14ac:dyDescent="0.35">
      <c r="A28" s="7">
        <v>10102</v>
      </c>
      <c r="B28" s="11">
        <v>10104</v>
      </c>
      <c r="C28" s="43"/>
    </row>
    <row r="29" spans="1:14" ht="14.5" x14ac:dyDescent="0.35">
      <c r="A29" s="7">
        <v>10106</v>
      </c>
      <c r="B29" s="11">
        <v>10108</v>
      </c>
      <c r="C29" s="43"/>
    </row>
    <row r="30" spans="1:14" ht="14.5" x14ac:dyDescent="0.35">
      <c r="A30" s="7">
        <v>10102</v>
      </c>
      <c r="B30" s="11">
        <v>10106</v>
      </c>
      <c r="C30" s="43"/>
    </row>
    <row r="31" spans="1:14" ht="14.5" x14ac:dyDescent="0.35">
      <c r="A31" s="7">
        <v>10110</v>
      </c>
      <c r="B31" s="11">
        <v>10114</v>
      </c>
      <c r="C31" s="43"/>
    </row>
    <row r="32" spans="1:14" ht="14.5" x14ac:dyDescent="0.35">
      <c r="A32" s="7">
        <v>10104</v>
      </c>
      <c r="B32" s="11">
        <v>10106</v>
      </c>
      <c r="C32" s="43"/>
    </row>
    <row r="33" spans="1:3" ht="14.5" x14ac:dyDescent="0.35">
      <c r="A33" s="7">
        <v>10110</v>
      </c>
      <c r="B33" s="11">
        <v>10112</v>
      </c>
      <c r="C33" s="43"/>
    </row>
    <row r="34" spans="1:3" ht="14.5" x14ac:dyDescent="0.35">
      <c r="A34" s="7">
        <v>10100</v>
      </c>
      <c r="B34" s="11">
        <v>10114</v>
      </c>
      <c r="C34" s="43"/>
    </row>
    <row r="35" spans="1:3" ht="14.5" x14ac:dyDescent="0.35">
      <c r="A35" s="8">
        <v>10112</v>
      </c>
      <c r="B35" s="12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Yogesh Jain</cp:lastModifiedBy>
  <dcterms:created xsi:type="dcterms:W3CDTF">2015-02-10T17:33:11Z</dcterms:created>
  <dcterms:modified xsi:type="dcterms:W3CDTF">2023-12-10T18:32:17Z</dcterms:modified>
</cp:coreProperties>
</file>